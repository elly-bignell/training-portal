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ellybignell/training-portal/"/>
    </mc:Choice>
  </mc:AlternateContent>
  <xr:revisionPtr revIDLastSave="0" documentId="13_ncr:1_{1266643F-1C02-EA44-BF1C-F0C909650DC0}" xr6:coauthVersionLast="47" xr6:coauthVersionMax="47" xr10:uidLastSave="{00000000-0000-0000-0000-000000000000}"/>
  <bookViews>
    <workbookView xWindow="-46840" yWindow="-15100" windowWidth="34360" windowHeight="28300" tabRatio="500" xr2:uid="{00000000-000D-0000-FFFF-FFFF00000000}"/>
  </bookViews>
  <sheets>
    <sheet name="Calculator" sheetId="1" r:id="rId1"/>
    <sheet name="Reality Check" sheetId="2" r:id="rId2"/>
    <sheet name="READM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8" i="2" l="1"/>
  <c r="C17" i="2"/>
  <c r="C16" i="2"/>
  <c r="C15" i="2"/>
  <c r="C14" i="2"/>
  <c r="G9" i="2"/>
  <c r="F9" i="2"/>
  <c r="E9" i="2"/>
  <c r="D9" i="2"/>
  <c r="C9" i="2"/>
  <c r="B9" i="2"/>
  <c r="H8" i="2"/>
  <c r="H7" i="2"/>
  <c r="H6" i="2"/>
  <c r="H9" i="2" s="1"/>
  <c r="H5" i="2"/>
  <c r="B40" i="1"/>
  <c r="I30" i="1"/>
  <c r="J30" i="1" s="1"/>
  <c r="H30" i="1"/>
  <c r="G30" i="1"/>
  <c r="I29" i="1"/>
  <c r="J29" i="1" s="1"/>
  <c r="H29" i="1"/>
  <c r="G29" i="1"/>
  <c r="I28" i="1"/>
  <c r="J28" i="1" s="1"/>
  <c r="H28" i="1"/>
  <c r="G28" i="1"/>
  <c r="I27" i="1"/>
  <c r="J27" i="1" s="1"/>
  <c r="H27" i="1"/>
  <c r="G27" i="1"/>
  <c r="I26" i="1"/>
  <c r="J26" i="1" s="1"/>
  <c r="H26" i="1"/>
  <c r="G26" i="1"/>
  <c r="B11" i="1"/>
  <c r="B12" i="1" s="1"/>
  <c r="D26" i="1" l="1"/>
  <c r="B41" i="1"/>
  <c r="C40" i="1"/>
  <c r="D30" i="1"/>
  <c r="D29" i="1" l="1"/>
  <c r="B30" i="1"/>
  <c r="C30" i="1" s="1"/>
  <c r="D27" i="1"/>
  <c r="E30" i="1"/>
  <c r="B17" i="2" s="1"/>
  <c r="D17" i="2" s="1"/>
  <c r="D31" i="1"/>
  <c r="B42" i="1"/>
  <c r="C41" i="1"/>
  <c r="I8" i="2"/>
  <c r="I7" i="2"/>
  <c r="I6" i="2"/>
  <c r="B26" i="1"/>
  <c r="C26" i="1" s="1"/>
  <c r="E26" i="1"/>
  <c r="I5" i="2"/>
  <c r="B43" i="1" l="1"/>
  <c r="D42" i="1"/>
  <c r="C42" i="1"/>
  <c r="D32" i="1"/>
  <c r="E31" i="1"/>
  <c r="B16" i="2" s="1"/>
  <c r="D16" i="2" s="1"/>
  <c r="B31" i="1"/>
  <c r="C31" i="1" s="1"/>
  <c r="B18" i="2"/>
  <c r="D18" i="2" s="1"/>
  <c r="I9" i="2"/>
  <c r="E27" i="1"/>
  <c r="B27" i="1"/>
  <c r="C27" i="1" s="1"/>
  <c r="E29" i="1"/>
  <c r="B29" i="1"/>
  <c r="C29" i="1" s="1"/>
  <c r="D28" i="1"/>
  <c r="E32" i="1" l="1"/>
  <c r="B15" i="2" s="1"/>
  <c r="D15" i="2" s="1"/>
  <c r="B32" i="1"/>
  <c r="C32" i="1" s="1"/>
  <c r="D33" i="1"/>
  <c r="D41" i="1"/>
  <c r="B28" i="1"/>
  <c r="C28" i="1" s="1"/>
  <c r="E28" i="1"/>
  <c r="J15" i="1"/>
  <c r="B44" i="1"/>
  <c r="D43" i="1"/>
  <c r="C43" i="1"/>
  <c r="B46" i="1"/>
  <c r="B45" i="1" l="1"/>
  <c r="D44" i="1"/>
  <c r="C44" i="1"/>
  <c r="B33" i="1"/>
  <c r="C33" i="1" s="1"/>
  <c r="E33" i="1"/>
  <c r="B14" i="2" s="1"/>
  <c r="D14" i="2" s="1"/>
  <c r="D40" i="1"/>
  <c r="J18" i="1"/>
  <c r="J19" i="1" s="1"/>
  <c r="J17" i="1"/>
  <c r="J16" i="1"/>
  <c r="D46" i="1"/>
  <c r="C46" i="1"/>
  <c r="J21" i="1" l="1"/>
  <c r="C45" i="1"/>
  <c r="B47" i="1"/>
  <c r="D45" i="1"/>
  <c r="D47" i="1" l="1"/>
  <c r="C47" i="1"/>
  <c r="B49" i="1" s="1"/>
  <c r="B5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Calculator</author>
  </authors>
  <commentList>
    <comment ref="B5" authorId="0" shapeId="0" xr:uid="{00000000-0006-0000-0000-000001000000}">
      <text>
        <r>
          <rPr>
            <sz val="10"/>
            <rFont val="Arial"/>
            <family val="2"/>
          </rPr>
          <t>Per-rep monthly WRR target (e.g., each Lead Gen rep should add $1,250/wk WRR by EOM).</t>
        </r>
      </text>
    </comment>
    <comment ref="B6" authorId="0" shapeId="0" xr:uid="{00000000-0006-0000-0000-000002000000}">
      <text>
        <r>
          <rPr>
            <sz val="10"/>
            <rFont val="Arial"/>
            <family val="2"/>
          </rPr>
          <t>Average new weekly recurring revenue per deal.</t>
        </r>
      </text>
    </comment>
    <comment ref="B7" authorId="0" shapeId="0" xr:uid="{00000000-0006-0000-0000-000003000000}">
      <text>
        <r>
          <rPr>
            <sz val="10"/>
            <rFont val="Arial"/>
            <family val="2"/>
          </rPr>
          <t>Used to convert monthly totals to daily.</t>
        </r>
      </text>
    </comment>
    <comment ref="B8" authorId="0" shapeId="0" xr:uid="{00000000-0006-0000-0000-000004000000}">
      <text>
        <r>
          <rPr>
            <sz val="10"/>
            <rFont val="Arial"/>
            <family val="2"/>
          </rPr>
          <t>Used to convert monthly totals to weekly.</t>
        </r>
      </text>
    </comment>
    <comment ref="B9" authorId="0" shapeId="0" xr:uid="{00000000-0006-0000-0000-000005000000}">
      <text>
        <r>
          <rPr>
            <sz val="10"/>
            <rFont val="Arial"/>
            <family val="2"/>
          </rPr>
          <t>Used to translate team goal → per-rep goal AND to scale per-rep projections to team totals.</t>
        </r>
      </text>
    </comment>
    <comment ref="B37" authorId="0" shapeId="0" xr:uid="{00000000-0006-0000-0000-000006000000}">
      <text>
        <r>
          <rPr>
            <sz val="10"/>
            <color rgb="FF000000"/>
            <rFont val="Arial"/>
            <family val="2"/>
          </rPr>
          <t>Per-rep daily dial volume assumption.</t>
        </r>
      </text>
    </comment>
  </commentList>
</comments>
</file>

<file path=xl/sharedStrings.xml><?xml version="1.0" encoding="utf-8"?>
<sst xmlns="http://schemas.openxmlformats.org/spreadsheetml/2006/main" count="135" uniqueCount="116">
  <si>
    <t>PROMO PLANNING CALCULATOR</t>
  </si>
  <si>
    <t>Configure cells in blue. Black cells are formulas — do not edit. Goal is set PER REP; team totals scale by Staff count.</t>
  </si>
  <si>
    <t xml:space="preserve">  THE GOAL</t>
  </si>
  <si>
    <t xml:space="preserve">  COMMISSIONS PLAN — per Lead Gen rep</t>
  </si>
  <si>
    <t>Monthly WRR target — PER REP / Lead Gen rep ($/wk by EOM)</t>
  </si>
  <si>
    <t>Bonus tiers (configurable). VLOOKUP keys off Min Attended.</t>
  </si>
  <si>
    <t>Average deal value ($/wk WRR per deal)</t>
  </si>
  <si>
    <t>Min attended</t>
  </si>
  <si>
    <t>Tier</t>
  </si>
  <si>
    <t>Bonus ($)</t>
  </si>
  <si>
    <t>Payrise/yr ($)</t>
  </si>
  <si>
    <t>Working days per month</t>
  </si>
  <si>
    <t>Below threshold</t>
  </si>
  <si>
    <t>Working days per week</t>
  </si>
  <si>
    <t>Tier 1</t>
  </si>
  <si>
    <t>Staff count (number of reps for this promo)</t>
  </si>
  <si>
    <t>Tier 2</t>
  </si>
  <si>
    <t>Tier 3</t>
  </si>
  <si>
    <t>Deals required per month — PER REP</t>
  </si>
  <si>
    <t>Tier 4 (sweet spot)</t>
  </si>
  <si>
    <t>Deals required per month — TEAM (= per rep × staff)</t>
  </si>
  <si>
    <t>Tier 5 (stretch)</t>
  </si>
  <si>
    <t xml:space="preserve">  FUNNEL CUT-THROUGHS — set Current to your assumption</t>
  </si>
  <si>
    <t xml:space="preserve">  PROJECTED COMMISSION (this month)</t>
  </si>
  <si>
    <t>Stage</t>
  </si>
  <si>
    <t>Current</t>
  </si>
  <si>
    <t>Target</t>
  </si>
  <si>
    <t>Commit</t>
  </si>
  <si>
    <t>High</t>
  </si>
  <si>
    <t>Projected attended (per rep)</t>
  </si>
  <si>
    <t>Pipeline → Deal close rate</t>
  </si>
  <si>
    <t>Current tier</t>
  </si>
  <si>
    <t>Attended → Pipeline</t>
  </si>
  <si>
    <t>Bonus this month ($)</t>
  </si>
  <si>
    <t>Attended → Deal on Day</t>
  </si>
  <si>
    <t>Annual payrise unlocked ($/yr)</t>
  </si>
  <si>
    <t>Booking → Attended</t>
  </si>
  <si>
    <t>Monthly payrise equivalent ($/mo)</t>
  </si>
  <si>
    <t>Connected → Booking</t>
  </si>
  <si>
    <t>Calls → Connected</t>
  </si>
  <si>
    <t>TOTAL THIS-MONTH VALUE (bonus + payrise/12)</t>
  </si>
  <si>
    <t>Note: Attended outcomes split into Deal on Day, Pipeline, and Lost. Attended → Pipeline + Attended → Deal on Day should be ≤ 100%.</t>
  </si>
  <si>
    <t xml:space="preserve">  REQUIRED ACTIVITY — PER REP (working backwards from each rep's monthly goal)</t>
  </si>
  <si>
    <t xml:space="preserve">  DIALS/DAY TO UNLOCK EACH TIER (at current cut-throughs)</t>
  </si>
  <si>
    <t>Funnel stage</t>
  </si>
  <si>
    <t>Per rep / day</t>
  </si>
  <si>
    <t>Per rep / week</t>
  </si>
  <si>
    <t>Per rep / month</t>
  </si>
  <si>
    <t>TEAM / month</t>
  </si>
  <si>
    <t>Dials / day</t>
  </si>
  <si>
    <t>Calls / month</t>
  </si>
  <si>
    <t>Total Deals</t>
  </si>
  <si>
    <t xml:space="preserve">     ↳ Deal on Day</t>
  </si>
  <si>
    <t xml:space="preserve">     ↳ Pipeline deals</t>
  </si>
  <si>
    <t>Pipeline (count)</t>
  </si>
  <si>
    <t>Attended</t>
  </si>
  <si>
    <t>Bookings</t>
  </si>
  <si>
    <t>Connected calls</t>
  </si>
  <si>
    <t>How to read: this table back-calculates the per-rep dial volume needed to attend the tier threshold of meetings. Lower cut-throughs = MORE dials needed. Improve any of Booking→Attended (B19), Connected→Booking (B20), or Calls→Connected (B21) to drop the dials/day requirement. The Projected Commission section above pulls the per-rep Attended number from the Forward Projection — change Dialled calls per rep per day (B37) to see which tier each rep lands in.</t>
  </si>
  <si>
    <t>Calls (dialled)</t>
  </si>
  <si>
    <t xml:space="preserve">  FORWARD PROJECTION (from per-rep dial volume)</t>
  </si>
  <si>
    <t>Set per-rep dial volume; team multiplier comes from Staff count above.</t>
  </si>
  <si>
    <t>Dialled calls per rep per day</t>
  </si>
  <si>
    <t>Per rep / mo</t>
  </si>
  <si>
    <t>Team / mo</t>
  </si>
  <si>
    <t>vs Per-rep Required</t>
  </si>
  <si>
    <t>Total deals</t>
  </si>
  <si>
    <t>PROJECTED TEAM WRR ADDED BY EOM</t>
  </si>
  <si>
    <t>As % of TEAM target (per-rep × staff)</t>
  </si>
  <si>
    <t>How to read: Goal is set PER REP (each Lead Gen staff member's monthly WRR target). Required Activity walks ONE rep's target backwards through the funnel; the TEAM column multiplies by Staff count. Forward Projection takes a per-rep dial volume and walks forwards; vs Per-rep Required compares each rep's projected output to their own target. 100% = on track. &lt;100% = shortfall. &gt;100% = surplus.</t>
  </si>
  <si>
    <t>REALITY CHECK — Rep actuals vs PER-REP requirement</t>
  </si>
  <si>
    <t>Rep "deals" = total (DoD + Pipeline combined). % Improvement compares each rep's pace to per-rep required deals from Calculator.</t>
  </si>
  <si>
    <t>Rep</t>
  </si>
  <si>
    <t>Days</t>
  </si>
  <si>
    <t>Dialled (raw)</t>
  </si>
  <si>
    <t>Connected</t>
  </si>
  <si>
    <t>Project. Deals</t>
  </si>
  <si>
    <t>% Improvement → Deals</t>
  </si>
  <si>
    <t>Cindy</t>
  </si>
  <si>
    <t>Krishna</t>
  </si>
  <si>
    <t>Sydney</t>
  </si>
  <si>
    <t>Riley</t>
  </si>
  <si>
    <t>TEAM TOTAL</t>
  </si>
  <si>
    <t>STAGE-LEVEL TEAM TOTALS — projected to full month</t>
  </si>
  <si>
    <t>TEAM Required /mo</t>
  </si>
  <si>
    <t>Team projected /mo</t>
  </si>
  <si>
    <t>Gap (% lift needed)</t>
  </si>
  <si>
    <t>How to read: rep actuals are partial-month. Projected = actual × Working Days / Days Worked. Per-rep gap (col I) compares each rep's pace to their PER-REP share of the team goal. Team-level gap (row 9 col I) compares team total to the team-wide requirement. Stage-level table compares team-projected to TEAM-required at each funnel stage.</t>
  </si>
  <si>
    <t>PROMO PLANNING CALCULATOR — README</t>
  </si>
  <si>
    <t>What this is</t>
  </si>
  <si>
    <t>Excel mirror of /promo-planning. Now reframed as a PER-REP model: required activity is shown</t>
  </si>
  <si>
    <t>per individual rep, with a Team total column that scales by Staff count.</t>
  </si>
  <si>
    <t xml:space="preserve">  • Calculator — main interactive model</t>
  </si>
  <si>
    <t xml:space="preserve">  • Reality Check — rep actuals vs PER-REP requirement</t>
  </si>
  <si>
    <t xml:space="preserve">  • README — this sheet</t>
  </si>
  <si>
    <t>How the model works</t>
  </si>
  <si>
    <t>1. Set the TEAM monthly WRR target ($/wk) and average deal value.</t>
  </si>
  <si>
    <t>2. Set Staff count — the model divides team goal by staff to get a per-rep target.</t>
  </si>
  <si>
    <t>3. Configure the funnel cut-throughs in row 16–21.</t>
  </si>
  <si>
    <t>4. Required Activity (rows 26–33) walks the per-rep target backwards through the funnel.</t>
  </si>
  <si>
    <t>5. Forward Projection (rows 40–47) takes a per-rep dial volume and walks forwards. The vs</t>
  </si>
  <si>
    <t xml:space="preserve">   Per-rep Required column shows whether each rep is projected to hit their share of the goal.</t>
  </si>
  <si>
    <t>6. Team / mo column = per-rep × Staff. The headline PROJECTED TEAM WRR is per-rep deals × staff</t>
  </si>
  <si>
    <t xml:space="preserve">   × deal value.</t>
  </si>
  <si>
    <t>Funnel structure</t>
  </si>
  <si>
    <t>Calls → Connected → Bookings → Attended ┬─ Pipeline → Pipeline-close → DEALS</t>
  </si>
  <si>
    <t xml:space="preserve">                                         └─ Deal on Day → DEALS (close in meeting)</t>
  </si>
  <si>
    <t>Required Attended (per rep) = Per-rep Deals / (DoD% + Pipeline% × Pipeline-close%)</t>
  </si>
  <si>
    <t>That effective rate combines both close paths.</t>
  </si>
  <si>
    <t>Colour coding (industry standard)</t>
  </si>
  <si>
    <t xml:space="preserve">  • Blue text on yellow background = inputs you change</t>
  </si>
  <si>
    <t xml:space="preserve">  • Black = formulas (do not edit)</t>
  </si>
  <si>
    <t xml:space="preserve">  • Green = cross-sheet links</t>
  </si>
  <si>
    <t xml:space="preserve">  • Red = gap / improvement-required indicators</t>
  </si>
  <si>
    <t xml:space="preserve">  • Purple-highlighted Attended → Deal on Day input marks the parallel split.</t>
  </si>
  <si>
    <t>Live web version: training-portal-mauve.vercel.app/promo-planning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</si>
</sst>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0.0"/>
    <numFmt numFmtId="166" formatCode="0.0%"/>
    <numFmt numFmtId="167" formatCode="0%;\(0%\);\-"/>
    <numFmt numFmtId="168" formatCode="\+0%;\-0%;\-"/>
  </numFmts>
  <fonts count="2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8"/>
      <color rgb="FF0F2A3D"/>
      <name val="Arial"/>
      <family val="2"/>
    </font>
    <font>
      <i/>
      <sz val="10"/>
      <color rgb="FF5A6B7A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1"/>
      <color rgb="FF0000FF"/>
      <name val="Arial"/>
      <family val="2"/>
    </font>
    <font>
      <b/>
      <sz val="10"/>
      <color rgb="FF0F2A3D"/>
      <name val="Arial"/>
      <family val="2"/>
    </font>
    <font>
      <b/>
      <sz val="11"/>
      <color rgb="FF0F2A3D"/>
      <name val="Arial"/>
      <family val="2"/>
    </font>
    <font>
      <b/>
      <sz val="12"/>
      <color rgb="FF158B58"/>
      <name val="Arial"/>
      <family val="2"/>
    </font>
    <font>
      <b/>
      <sz val="11"/>
      <color rgb="FF158B58"/>
      <name val="Arial"/>
      <family val="2"/>
    </font>
    <font>
      <sz val="10"/>
      <color rgb="FF5A6B7A"/>
      <name val="Arial"/>
      <family val="2"/>
    </font>
    <font>
      <b/>
      <sz val="11"/>
      <color rgb="FF000000"/>
      <name val="Arial"/>
      <family val="2"/>
    </font>
    <font>
      <b/>
      <sz val="11"/>
      <color rgb="FF6B4D8C"/>
      <name val="Arial"/>
      <family val="2"/>
    </font>
    <font>
      <i/>
      <sz val="11"/>
      <color rgb="FF5A6B7A"/>
      <name val="Arial"/>
      <family val="2"/>
    </font>
    <font>
      <b/>
      <sz val="14"/>
      <color rgb="FF1FAB6E"/>
      <name val="Arial"/>
      <family val="2"/>
    </font>
    <font>
      <b/>
      <sz val="12"/>
      <color rgb="FFFFFFFF"/>
      <name val="Arial"/>
      <family val="2"/>
    </font>
    <font>
      <b/>
      <sz val="16"/>
      <color rgb="FF0F2A3D"/>
      <name val="Arial"/>
      <family val="2"/>
    </font>
    <font>
      <sz val="11"/>
      <color rgb="FF0000FF"/>
      <name val="Arial"/>
      <family val="2"/>
    </font>
    <font>
      <b/>
      <sz val="11"/>
      <color rgb="FFC0392B"/>
      <name val="Arial"/>
      <family val="2"/>
    </font>
    <font>
      <sz val="11"/>
      <color rgb="FF008000"/>
      <name val="Arial"/>
      <family val="2"/>
    </font>
    <font>
      <b/>
      <sz val="12"/>
      <color rgb="FF0F2A3D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F2A3D"/>
        <bgColor rgb="FF333333"/>
      </patternFill>
    </fill>
    <fill>
      <patternFill patternType="solid">
        <fgColor rgb="FFFFF7CC"/>
        <bgColor rgb="FFFFF7E0"/>
      </patternFill>
    </fill>
    <fill>
      <patternFill patternType="solid">
        <fgColor rgb="FFE8F5EE"/>
        <bgColor rgb="FFF0E8F5"/>
      </patternFill>
    </fill>
    <fill>
      <patternFill patternType="solid">
        <fgColor rgb="FFFFF7E0"/>
        <bgColor rgb="FFFFF7CC"/>
      </patternFill>
    </fill>
    <fill>
      <patternFill patternType="solid">
        <fgColor rgb="FFF0E8F5"/>
        <bgColor rgb="FFE8F5EE"/>
      </patternFill>
    </fill>
  </fills>
  <borders count="4">
    <border>
      <left/>
      <right/>
      <top/>
      <bottom/>
      <diagonal/>
    </border>
    <border>
      <left/>
      <right/>
      <top/>
      <bottom style="thin">
        <color rgb="FF0F2A3D"/>
      </bottom>
      <diagonal/>
    </border>
    <border>
      <left style="thick">
        <color rgb="FFE89B2A"/>
      </left>
      <right/>
      <top/>
      <bottom/>
      <diagonal/>
    </border>
    <border>
      <left/>
      <right/>
      <top style="thin">
        <color rgb="FF0F2A3D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5" borderId="0" xfId="0" applyFont="1" applyFill="1" applyAlignment="1">
      <alignment horizontal="left" vertical="top" wrapText="1"/>
    </xf>
    <xf numFmtId="0" fontId="17" fillId="0" borderId="0" xfId="0" applyFont="1"/>
    <xf numFmtId="0" fontId="3" fillId="5" borderId="2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5" fillId="0" borderId="0" xfId="0" applyFont="1"/>
    <xf numFmtId="164" fontId="6" fillId="3" borderId="0" xfId="0" applyNumberFormat="1" applyFont="1" applyFill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" fontId="6" fillId="3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8" fillId="0" borderId="0" xfId="0" applyFont="1"/>
    <xf numFmtId="165" fontId="9" fillId="4" borderId="0" xfId="0" applyNumberFormat="1" applyFont="1" applyFill="1" applyAlignment="1">
      <alignment horizontal="right" vertical="center"/>
    </xf>
    <xf numFmtId="1" fontId="6" fillId="4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horizontal="left" vertical="center"/>
    </xf>
    <xf numFmtId="164" fontId="6" fillId="4" borderId="0" xfId="0" applyNumberFormat="1" applyFont="1" applyFill="1" applyAlignment="1">
      <alignment horizontal="right" vertical="center"/>
    </xf>
    <xf numFmtId="2" fontId="9" fillId="4" borderId="0" xfId="0" applyNumberFormat="1" applyFont="1" applyFill="1" applyAlignment="1">
      <alignment horizontal="right" vertical="center"/>
    </xf>
    <xf numFmtId="1" fontId="6" fillId="5" borderId="0" xfId="0" applyNumberFormat="1" applyFont="1" applyFill="1" applyAlignment="1">
      <alignment horizontal="right" vertical="center"/>
    </xf>
    <xf numFmtId="0" fontId="5" fillId="5" borderId="0" xfId="0" applyFont="1" applyFill="1" applyAlignment="1">
      <alignment horizontal="left" vertical="center"/>
    </xf>
    <xf numFmtId="164" fontId="6" fillId="5" borderId="0" xfId="0" applyNumberFormat="1" applyFont="1" applyFill="1" applyAlignment="1">
      <alignment horizontal="right" vertical="center"/>
    </xf>
    <xf numFmtId="165" fontId="10" fillId="4" borderId="0" xfId="0" applyNumberFormat="1" applyFont="1" applyFill="1" applyAlignment="1">
      <alignment horizontal="right" vertical="center"/>
    </xf>
    <xf numFmtId="166" fontId="6" fillId="3" borderId="0" xfId="0" applyNumberFormat="1" applyFont="1" applyFill="1" applyAlignment="1">
      <alignment horizontal="right" vertical="center"/>
    </xf>
    <xf numFmtId="166" fontId="11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164" fontId="12" fillId="0" borderId="0" xfId="0" applyNumberFormat="1" applyFont="1" applyAlignment="1">
      <alignment horizontal="right" vertical="center"/>
    </xf>
    <xf numFmtId="0" fontId="13" fillId="0" borderId="0" xfId="0" applyFont="1"/>
    <xf numFmtId="166" fontId="6" fillId="6" borderId="0" xfId="0" applyNumberFormat="1" applyFont="1" applyFill="1" applyAlignment="1">
      <alignment horizontal="right" vertical="center"/>
    </xf>
    <xf numFmtId="164" fontId="14" fillId="0" borderId="0" xfId="0" applyNumberFormat="1" applyFont="1" applyAlignment="1">
      <alignment horizontal="right" vertical="center"/>
    </xf>
    <xf numFmtId="164" fontId="15" fillId="2" borderId="0" xfId="0" applyNumberFormat="1" applyFont="1" applyFill="1" applyAlignment="1">
      <alignment horizontal="right" vertical="center"/>
    </xf>
    <xf numFmtId="0" fontId="3" fillId="0" borderId="0" xfId="0" applyFont="1" applyAlignment="1">
      <alignment horizontal="left" vertical="top" wrapText="1"/>
    </xf>
    <xf numFmtId="0" fontId="12" fillId="4" borderId="0" xfId="0" applyFont="1" applyFill="1"/>
    <xf numFmtId="2" fontId="10" fillId="4" borderId="0" xfId="0" applyNumberFormat="1" applyFont="1" applyFill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0" fontId="14" fillId="0" borderId="0" xfId="0" applyFont="1"/>
    <xf numFmtId="2" fontId="14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1" fontId="5" fillId="4" borderId="0" xfId="0" applyNumberFormat="1" applyFont="1" applyFill="1" applyAlignment="1">
      <alignment horizontal="right" vertical="center"/>
    </xf>
    <xf numFmtId="165" fontId="12" fillId="4" borderId="0" xfId="0" applyNumberFormat="1" applyFont="1" applyFill="1" applyAlignment="1">
      <alignment horizontal="right" vertical="center"/>
    </xf>
    <xf numFmtId="1" fontId="5" fillId="5" borderId="0" xfId="0" applyNumberFormat="1" applyFont="1" applyFill="1" applyAlignment="1">
      <alignment horizontal="right" vertical="center"/>
    </xf>
    <xf numFmtId="165" fontId="12" fillId="5" borderId="0" xfId="0" applyNumberFormat="1" applyFont="1" applyFill="1" applyAlignment="1">
      <alignment horizontal="right" vertical="center"/>
    </xf>
    <xf numFmtId="1" fontId="10" fillId="4" borderId="0" xfId="0" applyNumberFormat="1" applyFont="1" applyFill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0" fontId="12" fillId="4" borderId="0" xfId="0" applyFont="1" applyFill="1" applyAlignment="1">
      <alignment horizontal="left" vertical="center"/>
    </xf>
    <xf numFmtId="167" fontId="10" fillId="4" borderId="0" xfId="0" applyNumberFormat="1" applyFont="1" applyFill="1" applyAlignment="1">
      <alignment horizontal="right" vertical="center"/>
    </xf>
    <xf numFmtId="0" fontId="16" fillId="2" borderId="0" xfId="0" applyFont="1" applyFill="1" applyAlignment="1">
      <alignment horizontal="left" vertical="center"/>
    </xf>
    <xf numFmtId="0" fontId="0" fillId="2" borderId="0" xfId="0" applyFill="1"/>
    <xf numFmtId="9" fontId="10" fillId="0" borderId="0" xfId="0" applyNumberFormat="1" applyFont="1" applyAlignment="1">
      <alignment horizontal="right" vertical="center"/>
    </xf>
    <xf numFmtId="0" fontId="12" fillId="0" borderId="0" xfId="0" applyFont="1"/>
    <xf numFmtId="1" fontId="18" fillId="3" borderId="0" xfId="0" applyNumberFormat="1" applyFont="1" applyFill="1" applyAlignment="1">
      <alignment horizontal="right" vertical="center"/>
    </xf>
    <xf numFmtId="165" fontId="18" fillId="3" borderId="0" xfId="0" applyNumberFormat="1" applyFont="1" applyFill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168" fontId="19" fillId="0" borderId="0" xfId="0" applyNumberFormat="1" applyFont="1" applyAlignment="1">
      <alignment horizontal="right" vertical="center"/>
    </xf>
    <xf numFmtId="1" fontId="12" fillId="0" borderId="3" xfId="0" applyNumberFormat="1" applyFont="1" applyBorder="1" applyAlignment="1">
      <alignment horizontal="right" vertical="center"/>
    </xf>
    <xf numFmtId="165" fontId="12" fillId="0" borderId="3" xfId="0" applyNumberFormat="1" applyFont="1" applyBorder="1" applyAlignment="1">
      <alignment horizontal="right" vertical="center"/>
    </xf>
    <xf numFmtId="2" fontId="12" fillId="0" borderId="3" xfId="0" applyNumberFormat="1" applyFont="1" applyBorder="1" applyAlignment="1">
      <alignment horizontal="right" vertical="center"/>
    </xf>
    <xf numFmtId="168" fontId="19" fillId="0" borderId="3" xfId="0" applyNumberFormat="1" applyFont="1" applyBorder="1" applyAlignment="1">
      <alignment horizontal="right" vertical="center"/>
    </xf>
    <xf numFmtId="1" fontId="20" fillId="0" borderId="0" xfId="0" applyNumberFormat="1" applyFont="1" applyAlignment="1">
      <alignment horizontal="right" vertical="center"/>
    </xf>
    <xf numFmtId="1" fontId="12" fillId="0" borderId="0" xfId="0" applyNumberFormat="1" applyFont="1" applyAlignment="1">
      <alignment horizontal="right" vertical="center"/>
    </xf>
    <xf numFmtId="165" fontId="20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B58"/>
      <rgbColor rgb="FFC0C0C0"/>
      <rgbColor rgb="FF808080"/>
      <rgbColor rgb="FF9999FF"/>
      <rgbColor rgb="FF6B4D8C"/>
      <rgbColor rgb="FFFFF7CC"/>
      <rgbColor rgb="FFE8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E8F5"/>
      <rgbColor rgb="FFCCFFCC"/>
      <rgbColor rgb="FFFFF7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9B2A"/>
      <rgbColor rgb="FFFF6600"/>
      <rgbColor rgb="FF5A6B7A"/>
      <rgbColor rgb="FF969696"/>
      <rgbColor rgb="FF0F2A3D"/>
      <rgbColor rgb="FF1FAB6E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zoomScaleNormal="100" workbookViewId="0">
      <pane ySplit="3" topLeftCell="A4" activePane="bottomLeft" state="frozen"/>
      <selection pane="bottomLeft" activeCell="G42" sqref="G42:H44"/>
    </sheetView>
  </sheetViews>
  <sheetFormatPr baseColWidth="10" defaultColWidth="8.6640625" defaultRowHeight="15" x14ac:dyDescent="0.2"/>
  <cols>
    <col min="1" max="1" width="40" customWidth="1"/>
    <col min="2" max="5" width="14" customWidth="1"/>
    <col min="6" max="6" width="3" customWidth="1"/>
    <col min="7" max="7" width="22" customWidth="1"/>
    <col min="8" max="8" width="18" customWidth="1"/>
    <col min="9" max="9" width="14" customWidth="1"/>
    <col min="10" max="10" width="16" customWidth="1"/>
  </cols>
  <sheetData>
    <row r="1" spans="1:10" ht="27.75" customHeight="1" x14ac:dyDescent="0.2">
      <c r="A1" s="8" t="s">
        <v>0</v>
      </c>
      <c r="B1" s="8"/>
      <c r="C1" s="8"/>
      <c r="D1" s="8"/>
      <c r="E1" s="8"/>
    </row>
    <row r="2" spans="1:10" ht="15" customHeight="1" x14ac:dyDescent="0.2">
      <c r="A2" s="7" t="s">
        <v>1</v>
      </c>
      <c r="B2" s="7"/>
      <c r="C2" s="7"/>
      <c r="D2" s="7"/>
      <c r="E2" s="7"/>
    </row>
    <row r="4" spans="1:10" ht="21.75" customHeight="1" x14ac:dyDescent="0.2">
      <c r="A4" s="6" t="s">
        <v>2</v>
      </c>
      <c r="B4" s="6"/>
      <c r="C4" s="6"/>
      <c r="D4" s="6"/>
      <c r="E4" s="6"/>
      <c r="G4" s="6" t="s">
        <v>3</v>
      </c>
      <c r="H4" s="6"/>
      <c r="I4" s="6"/>
      <c r="J4" s="6"/>
    </row>
    <row r="5" spans="1:10" ht="15" customHeight="1" x14ac:dyDescent="0.2">
      <c r="A5" s="10" t="s">
        <v>4</v>
      </c>
      <c r="B5" s="11">
        <v>1250</v>
      </c>
      <c r="G5" s="5" t="s">
        <v>5</v>
      </c>
      <c r="H5" s="5"/>
      <c r="I5" s="5"/>
      <c r="J5" s="5"/>
    </row>
    <row r="6" spans="1:10" ht="15" customHeight="1" x14ac:dyDescent="0.2">
      <c r="A6" s="10" t="s">
        <v>6</v>
      </c>
      <c r="B6" s="11">
        <v>100</v>
      </c>
      <c r="G6" s="12" t="s">
        <v>7</v>
      </c>
      <c r="H6" s="13" t="s">
        <v>8</v>
      </c>
      <c r="I6" s="12" t="s">
        <v>9</v>
      </c>
      <c r="J6" s="12" t="s">
        <v>10</v>
      </c>
    </row>
    <row r="7" spans="1:10" ht="15" customHeight="1" x14ac:dyDescent="0.2">
      <c r="A7" s="10" t="s">
        <v>11</v>
      </c>
      <c r="B7" s="14">
        <v>21</v>
      </c>
      <c r="G7" s="14">
        <v>0</v>
      </c>
      <c r="H7" s="15" t="s">
        <v>12</v>
      </c>
      <c r="I7" s="11">
        <v>0</v>
      </c>
      <c r="J7" s="11">
        <v>0</v>
      </c>
    </row>
    <row r="8" spans="1:10" ht="15" customHeight="1" x14ac:dyDescent="0.2">
      <c r="A8" s="10" t="s">
        <v>13</v>
      </c>
      <c r="B8" s="14">
        <v>5</v>
      </c>
      <c r="G8" s="14">
        <v>35</v>
      </c>
      <c r="H8" s="15" t="s">
        <v>14</v>
      </c>
      <c r="I8" s="11">
        <v>800</v>
      </c>
      <c r="J8" s="11">
        <v>0</v>
      </c>
    </row>
    <row r="9" spans="1:10" ht="15" customHeight="1" x14ac:dyDescent="0.2">
      <c r="A9" s="10" t="s">
        <v>15</v>
      </c>
      <c r="B9" s="14">
        <v>3</v>
      </c>
      <c r="G9" s="14">
        <v>40</v>
      </c>
      <c r="H9" s="15" t="s">
        <v>16</v>
      </c>
      <c r="I9" s="11">
        <v>1000</v>
      </c>
      <c r="J9" s="11">
        <v>0</v>
      </c>
    </row>
    <row r="10" spans="1:10" x14ac:dyDescent="0.2">
      <c r="G10" s="14">
        <v>45</v>
      </c>
      <c r="H10" s="15" t="s">
        <v>17</v>
      </c>
      <c r="I10" s="11">
        <v>1500</v>
      </c>
      <c r="J10" s="11">
        <v>0</v>
      </c>
    </row>
    <row r="11" spans="1:10" ht="15" customHeight="1" x14ac:dyDescent="0.2">
      <c r="A11" s="16" t="s">
        <v>18</v>
      </c>
      <c r="B11" s="17">
        <f>B5/B6</f>
        <v>12.5</v>
      </c>
      <c r="G11" s="18">
        <v>50</v>
      </c>
      <c r="H11" s="19" t="s">
        <v>19</v>
      </c>
      <c r="I11" s="20">
        <v>2000</v>
      </c>
      <c r="J11" s="20">
        <v>2500</v>
      </c>
    </row>
    <row r="12" spans="1:10" ht="15" customHeight="1" x14ac:dyDescent="0.2">
      <c r="A12" s="16" t="s">
        <v>20</v>
      </c>
      <c r="B12" s="21">
        <f>B11*B9</f>
        <v>37.5</v>
      </c>
      <c r="G12" s="22">
        <v>60</v>
      </c>
      <c r="H12" s="23" t="s">
        <v>21</v>
      </c>
      <c r="I12" s="24">
        <v>2500</v>
      </c>
      <c r="J12" s="24">
        <v>2500</v>
      </c>
    </row>
    <row r="14" spans="1:10" ht="21.75" customHeight="1" x14ac:dyDescent="0.2">
      <c r="A14" s="6" t="s">
        <v>22</v>
      </c>
      <c r="B14" s="6"/>
      <c r="C14" s="6"/>
      <c r="D14" s="6"/>
      <c r="E14" s="6"/>
      <c r="G14" s="6" t="s">
        <v>23</v>
      </c>
      <c r="H14" s="6"/>
      <c r="I14" s="6"/>
      <c r="J14" s="6"/>
    </row>
    <row r="15" spans="1:10" ht="15" customHeight="1" x14ac:dyDescent="0.2">
      <c r="A15" s="13" t="s">
        <v>24</v>
      </c>
      <c r="B15" s="12" t="s">
        <v>25</v>
      </c>
      <c r="C15" s="12" t="s">
        <v>26</v>
      </c>
      <c r="D15" s="12" t="s">
        <v>27</v>
      </c>
      <c r="E15" s="12" t="s">
        <v>28</v>
      </c>
      <c r="G15" s="10" t="s">
        <v>29</v>
      </c>
      <c r="J15" s="25">
        <f>B43</f>
        <v>29.090880000000006</v>
      </c>
    </row>
    <row r="16" spans="1:10" ht="15" customHeight="1" x14ac:dyDescent="0.2">
      <c r="A16" s="10" t="s">
        <v>30</v>
      </c>
      <c r="B16" s="26">
        <v>0.51</v>
      </c>
      <c r="C16" s="27">
        <v>0.51</v>
      </c>
      <c r="D16" s="27">
        <v>0.51</v>
      </c>
      <c r="E16" s="27">
        <v>0.85</v>
      </c>
      <c r="G16" s="10" t="s">
        <v>31</v>
      </c>
      <c r="J16" s="28" t="str">
        <f>INDEX($H$7:$H$12,MATCH(J15,$G$7:$G$12,1))</f>
        <v>Below threshold</v>
      </c>
    </row>
    <row r="17" spans="1:10" ht="15" customHeight="1" x14ac:dyDescent="0.2">
      <c r="A17" s="10" t="s">
        <v>32</v>
      </c>
      <c r="B17" s="26">
        <v>0.65</v>
      </c>
      <c r="C17" s="27">
        <v>0.67</v>
      </c>
      <c r="D17" s="27">
        <v>0.7</v>
      </c>
      <c r="E17" s="27">
        <v>0.72</v>
      </c>
      <c r="G17" s="10" t="s">
        <v>33</v>
      </c>
      <c r="J17" s="29">
        <f>INDEX($I$7:$I$12,MATCH(J15,$G$7:$G$12,1))</f>
        <v>0</v>
      </c>
    </row>
    <row r="18" spans="1:10" ht="15" customHeight="1" x14ac:dyDescent="0.2">
      <c r="A18" s="30" t="s">
        <v>34</v>
      </c>
      <c r="B18" s="31">
        <v>0.1</v>
      </c>
      <c r="C18" s="27">
        <v>0.05</v>
      </c>
      <c r="D18" s="27">
        <v>0.1</v>
      </c>
      <c r="E18" s="27">
        <v>0.2</v>
      </c>
      <c r="G18" s="10" t="s">
        <v>35</v>
      </c>
      <c r="J18" s="29">
        <f>INDEX($J$7:$J$12,MATCH(J15,$G$7:$G$12,1))</f>
        <v>0</v>
      </c>
    </row>
    <row r="19" spans="1:10" ht="15" customHeight="1" x14ac:dyDescent="0.2">
      <c r="A19" s="10" t="s">
        <v>36</v>
      </c>
      <c r="B19" s="26">
        <v>0.2</v>
      </c>
      <c r="C19" s="27">
        <v>0.31</v>
      </c>
      <c r="D19" s="27">
        <v>0.4</v>
      </c>
      <c r="E19" s="27">
        <v>0.63</v>
      </c>
      <c r="G19" s="9" t="s">
        <v>37</v>
      </c>
      <c r="J19" s="32">
        <f>J18/12</f>
        <v>0</v>
      </c>
    </row>
    <row r="20" spans="1:10" ht="15" customHeight="1" x14ac:dyDescent="0.2">
      <c r="A20" s="10" t="s">
        <v>38</v>
      </c>
      <c r="B20" s="26">
        <v>0.12</v>
      </c>
      <c r="C20" s="27">
        <v>0.105</v>
      </c>
      <c r="D20" s="27">
        <v>0.12</v>
      </c>
      <c r="E20" s="27">
        <v>0.19</v>
      </c>
    </row>
    <row r="21" spans="1:10" ht="24" customHeight="1" x14ac:dyDescent="0.2">
      <c r="A21" s="10" t="s">
        <v>39</v>
      </c>
      <c r="B21" s="26">
        <v>0.52</v>
      </c>
      <c r="C21" s="27">
        <v>0.5</v>
      </c>
      <c r="D21" s="27">
        <v>0.52</v>
      </c>
      <c r="E21" s="27">
        <v>0.55000000000000004</v>
      </c>
      <c r="G21" s="6" t="s">
        <v>40</v>
      </c>
      <c r="H21" s="6"/>
      <c r="I21" s="6"/>
      <c r="J21" s="33">
        <f>J17+J19</f>
        <v>0</v>
      </c>
    </row>
    <row r="22" spans="1:10" ht="23.25" customHeight="1" x14ac:dyDescent="0.2">
      <c r="A22" s="4" t="s">
        <v>41</v>
      </c>
      <c r="B22" s="4"/>
      <c r="C22" s="4"/>
      <c r="D22" s="4"/>
      <c r="E22" s="4"/>
    </row>
    <row r="24" spans="1:10" ht="21.75" customHeight="1" x14ac:dyDescent="0.2">
      <c r="A24" s="6" t="s">
        <v>42</v>
      </c>
      <c r="B24" s="6"/>
      <c r="C24" s="6"/>
      <c r="D24" s="6"/>
      <c r="E24" s="6"/>
      <c r="G24" s="6" t="s">
        <v>43</v>
      </c>
      <c r="H24" s="6"/>
      <c r="I24" s="6"/>
      <c r="J24" s="6"/>
    </row>
    <row r="25" spans="1:10" ht="15" customHeight="1" x14ac:dyDescent="0.2">
      <c r="A25" s="13" t="s">
        <v>44</v>
      </c>
      <c r="B25" s="12" t="s">
        <v>45</v>
      </c>
      <c r="C25" s="12" t="s">
        <v>46</v>
      </c>
      <c r="D25" s="12" t="s">
        <v>47</v>
      </c>
      <c r="E25" s="12" t="s">
        <v>48</v>
      </c>
      <c r="G25" s="13" t="s">
        <v>8</v>
      </c>
      <c r="H25" s="12" t="s">
        <v>7</v>
      </c>
      <c r="I25" s="12" t="s">
        <v>49</v>
      </c>
      <c r="J25" s="12" t="s">
        <v>50</v>
      </c>
    </row>
    <row r="26" spans="1:10" ht="15" customHeight="1" x14ac:dyDescent="0.2">
      <c r="A26" s="35" t="s">
        <v>51</v>
      </c>
      <c r="B26" s="36">
        <f t="shared" ref="B26:B33" si="0">D26/$B$7</f>
        <v>0.59523809523809523</v>
      </c>
      <c r="C26" s="36">
        <f t="shared" ref="C26:C33" si="1">B26*$B$8</f>
        <v>2.9761904761904763</v>
      </c>
      <c r="D26" s="36">
        <f>B11</f>
        <v>12.5</v>
      </c>
      <c r="E26" s="36">
        <f t="shared" ref="E26:E33" si="2">D26*$B$9</f>
        <v>37.5</v>
      </c>
      <c r="G26" s="15" t="str">
        <f>H8</f>
        <v>Tier 1</v>
      </c>
      <c r="H26" s="37">
        <f>G8</f>
        <v>35</v>
      </c>
      <c r="I26" s="38">
        <f>G8/$B$19/$B$20/$B$21/$B$7</f>
        <v>133.54700854700855</v>
      </c>
      <c r="J26" s="37">
        <f>I26*$B$7</f>
        <v>2804.4871794871797</v>
      </c>
    </row>
    <row r="27" spans="1:10" ht="15" customHeight="1" x14ac:dyDescent="0.2">
      <c r="A27" s="39" t="s">
        <v>52</v>
      </c>
      <c r="B27" s="40">
        <f t="shared" si="0"/>
        <v>0.13794625613860839</v>
      </c>
      <c r="C27" s="40">
        <f t="shared" si="1"/>
        <v>0.68973128069304201</v>
      </c>
      <c r="D27" s="40">
        <f>D30*B18</f>
        <v>2.8968713789107765</v>
      </c>
      <c r="E27" s="40">
        <f t="shared" si="2"/>
        <v>8.6906141367323286</v>
      </c>
      <c r="G27" s="15" t="str">
        <f>H9</f>
        <v>Tier 2</v>
      </c>
      <c r="H27" s="37">
        <f>G9</f>
        <v>40</v>
      </c>
      <c r="I27" s="38">
        <f>G9/$B$19/$B$20/$B$21/$B$7</f>
        <v>152.62515262515262</v>
      </c>
      <c r="J27" s="37">
        <f>I27*$B$7</f>
        <v>3205.1282051282051</v>
      </c>
    </row>
    <row r="28" spans="1:10" ht="15" customHeight="1" x14ac:dyDescent="0.2">
      <c r="A28" s="39" t="s">
        <v>53</v>
      </c>
      <c r="B28" s="40">
        <f t="shared" si="0"/>
        <v>0.4572918390994869</v>
      </c>
      <c r="C28" s="40">
        <f t="shared" si="1"/>
        <v>2.2864591954974345</v>
      </c>
      <c r="D28" s="40">
        <f>D29*B16</f>
        <v>9.6031286210892244</v>
      </c>
      <c r="E28" s="40">
        <f t="shared" si="2"/>
        <v>28.809385863267671</v>
      </c>
      <c r="G28" s="15" t="str">
        <f>H10</f>
        <v>Tier 3</v>
      </c>
      <c r="H28" s="37">
        <f>G10</f>
        <v>45</v>
      </c>
      <c r="I28" s="38">
        <f>G10/$B$19/$B$20/$B$21/$B$7</f>
        <v>171.7032967032967</v>
      </c>
      <c r="J28" s="37">
        <f>I28*$B$7</f>
        <v>3605.7692307692305</v>
      </c>
    </row>
    <row r="29" spans="1:10" ht="15" customHeight="1" x14ac:dyDescent="0.2">
      <c r="A29" s="10" t="s">
        <v>54</v>
      </c>
      <c r="B29" s="41">
        <f t="shared" si="0"/>
        <v>0.89665066490095469</v>
      </c>
      <c r="C29" s="41">
        <f t="shared" si="1"/>
        <v>4.4832533245047737</v>
      </c>
      <c r="D29" s="41">
        <f>D30*B17</f>
        <v>18.829663962920048</v>
      </c>
      <c r="E29" s="41">
        <f t="shared" si="2"/>
        <v>56.48899188876014</v>
      </c>
      <c r="G29" s="19" t="str">
        <f>H11</f>
        <v>Tier 4 (sweet spot)</v>
      </c>
      <c r="H29" s="42">
        <f>G11</f>
        <v>50</v>
      </c>
      <c r="I29" s="43">
        <f>G11/$B$19/$B$20/$B$21/$B$7</f>
        <v>190.78144078144078</v>
      </c>
      <c r="J29" s="42">
        <f>I29*$B$7</f>
        <v>4006.4102564102564</v>
      </c>
    </row>
    <row r="30" spans="1:10" ht="15" customHeight="1" x14ac:dyDescent="0.2">
      <c r="A30" s="10" t="s">
        <v>55</v>
      </c>
      <c r="B30" s="41">
        <f t="shared" si="0"/>
        <v>1.379462561386084</v>
      </c>
      <c r="C30" s="41">
        <f t="shared" si="1"/>
        <v>6.8973128069304206</v>
      </c>
      <c r="D30" s="41">
        <f>B11/(B18+B17*B16)</f>
        <v>28.968713789107763</v>
      </c>
      <c r="E30" s="41">
        <f t="shared" si="2"/>
        <v>86.906141367323286</v>
      </c>
      <c r="G30" s="23" t="str">
        <f>H12</f>
        <v>Tier 5 (stretch)</v>
      </c>
      <c r="H30" s="44">
        <f>G12</f>
        <v>60</v>
      </c>
      <c r="I30" s="45">
        <f>G12/$B$19/$B$20/$B$21/$B$7</f>
        <v>228.93772893772893</v>
      </c>
      <c r="J30" s="44">
        <f>I30*$B$7</f>
        <v>4807.6923076923076</v>
      </c>
    </row>
    <row r="31" spans="1:10" ht="15" customHeight="1" x14ac:dyDescent="0.2">
      <c r="A31" s="10" t="s">
        <v>56</v>
      </c>
      <c r="B31" s="41">
        <f t="shared" si="0"/>
        <v>6.8973128069304197</v>
      </c>
      <c r="C31" s="41">
        <f t="shared" si="1"/>
        <v>34.486564034652098</v>
      </c>
      <c r="D31" s="41">
        <f>D30/B19</f>
        <v>144.84356894553881</v>
      </c>
      <c r="E31" s="41">
        <f t="shared" si="2"/>
        <v>434.53070683661645</v>
      </c>
    </row>
    <row r="32" spans="1:10" ht="13.5" customHeight="1" x14ac:dyDescent="0.2">
      <c r="A32" s="10" t="s">
        <v>57</v>
      </c>
      <c r="B32" s="37">
        <f t="shared" si="0"/>
        <v>57.477606724420163</v>
      </c>
      <c r="C32" s="37">
        <f t="shared" si="1"/>
        <v>287.38803362210081</v>
      </c>
      <c r="D32" s="37">
        <f>D31/B20</f>
        <v>1207.0297412128234</v>
      </c>
      <c r="E32" s="37">
        <f t="shared" si="2"/>
        <v>3621.0892236384702</v>
      </c>
      <c r="G32" s="3" t="s">
        <v>58</v>
      </c>
      <c r="H32" s="3"/>
      <c r="I32" s="3"/>
      <c r="J32" s="3"/>
    </row>
    <row r="33" spans="1:10" ht="15" customHeight="1" x14ac:dyDescent="0.2">
      <c r="A33" s="35" t="s">
        <v>59</v>
      </c>
      <c r="B33" s="46">
        <f t="shared" si="0"/>
        <v>110.53385908542339</v>
      </c>
      <c r="C33" s="46">
        <f t="shared" si="1"/>
        <v>552.66929542711694</v>
      </c>
      <c r="D33" s="46">
        <f>D32/B21</f>
        <v>2321.2110407938912</v>
      </c>
      <c r="E33" s="46">
        <f t="shared" si="2"/>
        <v>6963.6331223816742</v>
      </c>
      <c r="G33" s="3"/>
      <c r="H33" s="3"/>
      <c r="I33" s="3"/>
      <c r="J33" s="3"/>
    </row>
    <row r="34" spans="1:10" x14ac:dyDescent="0.2">
      <c r="G34" s="3"/>
      <c r="H34" s="3"/>
      <c r="I34" s="3"/>
      <c r="J34" s="3"/>
    </row>
    <row r="35" spans="1:10" ht="21.75" customHeight="1" x14ac:dyDescent="0.2">
      <c r="A35" s="6" t="s">
        <v>60</v>
      </c>
      <c r="B35" s="6"/>
      <c r="C35" s="6"/>
      <c r="D35" s="6"/>
      <c r="E35" s="6"/>
      <c r="G35" s="3"/>
      <c r="H35" s="3"/>
      <c r="I35" s="3"/>
      <c r="J35" s="3"/>
    </row>
    <row r="36" spans="1:10" ht="15" customHeight="1" x14ac:dyDescent="0.2">
      <c r="A36" s="9" t="s">
        <v>61</v>
      </c>
    </row>
    <row r="37" spans="1:10" ht="15" customHeight="1" x14ac:dyDescent="0.2">
      <c r="A37" s="10" t="s">
        <v>62</v>
      </c>
      <c r="B37" s="14">
        <v>111</v>
      </c>
    </row>
    <row r="39" spans="1:10" ht="15" customHeight="1" x14ac:dyDescent="0.2">
      <c r="A39" s="13" t="s">
        <v>44</v>
      </c>
      <c r="B39" s="12" t="s">
        <v>63</v>
      </c>
      <c r="C39" s="12" t="s">
        <v>64</v>
      </c>
      <c r="D39" s="12" t="s">
        <v>65</v>
      </c>
    </row>
    <row r="40" spans="1:10" ht="15" customHeight="1" x14ac:dyDescent="0.2">
      <c r="A40" s="10" t="s">
        <v>59</v>
      </c>
      <c r="B40" s="37">
        <f>B37*B7</f>
        <v>2331</v>
      </c>
      <c r="C40" s="37">
        <f t="shared" ref="C40:C47" si="3">B40*$B$9</f>
        <v>6993</v>
      </c>
      <c r="D40" s="47">
        <f>IFERROR(B40/D33,0)</f>
        <v>1.0042171776</v>
      </c>
    </row>
    <row r="41" spans="1:10" ht="15" customHeight="1" x14ac:dyDescent="0.2">
      <c r="A41" s="10" t="s">
        <v>57</v>
      </c>
      <c r="B41" s="37">
        <f>B40*B21</f>
        <v>1212.1200000000001</v>
      </c>
      <c r="C41" s="37">
        <f t="shared" si="3"/>
        <v>3636.3600000000006</v>
      </c>
      <c r="D41" s="47">
        <f>IFERROR(B41/D32,0)</f>
        <v>1.0042171776000002</v>
      </c>
    </row>
    <row r="42" spans="1:10" ht="15" customHeight="1" x14ac:dyDescent="0.2">
      <c r="A42" s="10" t="s">
        <v>56</v>
      </c>
      <c r="B42" s="41">
        <f>B41*B20</f>
        <v>145.45440000000002</v>
      </c>
      <c r="C42" s="41">
        <f t="shared" si="3"/>
        <v>436.36320000000006</v>
      </c>
      <c r="D42" s="47">
        <f>IFERROR(B42/D31,0)</f>
        <v>1.0042171776000002</v>
      </c>
    </row>
    <row r="43" spans="1:10" ht="15" customHeight="1" x14ac:dyDescent="0.2">
      <c r="A43" s="10" t="s">
        <v>55</v>
      </c>
      <c r="B43" s="41">
        <f>B42*B19</f>
        <v>29.090880000000006</v>
      </c>
      <c r="C43" s="41">
        <f t="shared" si="3"/>
        <v>87.272640000000024</v>
      </c>
      <c r="D43" s="47">
        <f>IFERROR(B43/D30,0)</f>
        <v>1.0042171776000002</v>
      </c>
    </row>
    <row r="44" spans="1:10" ht="15" customHeight="1" x14ac:dyDescent="0.2">
      <c r="A44" s="10" t="s">
        <v>54</v>
      </c>
      <c r="B44" s="41">
        <f>B43*B17</f>
        <v>18.909072000000005</v>
      </c>
      <c r="C44" s="41">
        <f t="shared" si="3"/>
        <v>56.727216000000013</v>
      </c>
      <c r="D44" s="47">
        <f>IFERROR(B44/D29,0)</f>
        <v>1.0042171776000002</v>
      </c>
    </row>
    <row r="45" spans="1:10" ht="15" customHeight="1" x14ac:dyDescent="0.2">
      <c r="A45" s="39" t="s">
        <v>53</v>
      </c>
      <c r="B45" s="40">
        <f>B44*B16</f>
        <v>9.6436267200000021</v>
      </c>
      <c r="C45" s="40">
        <f t="shared" si="3"/>
        <v>28.930880160000008</v>
      </c>
      <c r="D45" s="47">
        <f>IFERROR(B45/D28,0)</f>
        <v>1.0042171776000002</v>
      </c>
    </row>
    <row r="46" spans="1:10" ht="15" customHeight="1" x14ac:dyDescent="0.2">
      <c r="A46" s="39" t="s">
        <v>52</v>
      </c>
      <c r="B46" s="40">
        <f>B43*B18</f>
        <v>2.9090880000000006</v>
      </c>
      <c r="C46" s="40">
        <f t="shared" si="3"/>
        <v>8.7272640000000017</v>
      </c>
      <c r="D46" s="47">
        <f>IFERROR(B46/D27,0)</f>
        <v>1.0042171776000002</v>
      </c>
    </row>
    <row r="47" spans="1:10" ht="15" customHeight="1" x14ac:dyDescent="0.2">
      <c r="A47" s="48" t="s">
        <v>66</v>
      </c>
      <c r="B47" s="36">
        <f>B45+B46</f>
        <v>12.552714720000003</v>
      </c>
      <c r="C47" s="36">
        <f t="shared" si="3"/>
        <v>37.658144160000006</v>
      </c>
      <c r="D47" s="49">
        <f>IFERROR(B47/D26,0)</f>
        <v>1.0042171776000002</v>
      </c>
    </row>
    <row r="49" spans="1:5" ht="25.5" customHeight="1" x14ac:dyDescent="0.2">
      <c r="A49" s="50" t="s">
        <v>67</v>
      </c>
      <c r="B49" s="33">
        <f>C47*B6</f>
        <v>3765.8144160000006</v>
      </c>
      <c r="C49" s="51"/>
      <c r="D49" s="51"/>
      <c r="E49" s="51"/>
    </row>
    <row r="50" spans="1:5" ht="15" customHeight="1" x14ac:dyDescent="0.2">
      <c r="A50" s="9" t="s">
        <v>68</v>
      </c>
      <c r="B50" s="52">
        <f>B49/(B5*B9)</f>
        <v>1.0042171776000002</v>
      </c>
    </row>
    <row r="52" spans="1:5" ht="15" customHeight="1" x14ac:dyDescent="0.2">
      <c r="A52" s="3" t="s">
        <v>69</v>
      </c>
      <c r="B52" s="3"/>
      <c r="C52" s="3"/>
      <c r="D52" s="3"/>
      <c r="E52" s="3"/>
    </row>
    <row r="53" spans="1:5" ht="15" customHeight="1" x14ac:dyDescent="0.2">
      <c r="A53" s="3"/>
      <c r="B53" s="3"/>
      <c r="C53" s="3"/>
      <c r="D53" s="3"/>
      <c r="E53" s="3"/>
    </row>
    <row r="54" spans="1:5" ht="15" customHeight="1" x14ac:dyDescent="0.2">
      <c r="A54" s="3"/>
      <c r="B54" s="3"/>
      <c r="C54" s="3"/>
      <c r="D54" s="3"/>
      <c r="E54" s="3"/>
    </row>
    <row r="55" spans="1:5" ht="15" customHeight="1" x14ac:dyDescent="0.2">
      <c r="A55" s="3"/>
      <c r="B55" s="3"/>
      <c r="C55" s="3"/>
      <c r="D55" s="3"/>
      <c r="E55" s="3"/>
    </row>
  </sheetData>
  <mergeCells count="14">
    <mergeCell ref="G32:J35"/>
    <mergeCell ref="A35:E35"/>
    <mergeCell ref="A52:E55"/>
    <mergeCell ref="A14:E14"/>
    <mergeCell ref="G14:J14"/>
    <mergeCell ref="G21:I21"/>
    <mergeCell ref="A22:E22"/>
    <mergeCell ref="A24:E24"/>
    <mergeCell ref="G24:J24"/>
    <mergeCell ref="A1:E1"/>
    <mergeCell ref="A2:E2"/>
    <mergeCell ref="A4:E4"/>
    <mergeCell ref="G4:J4"/>
    <mergeCell ref="G5:J5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26" customWidth="1"/>
    <col min="2" max="2" width="8" customWidth="1"/>
    <col min="3" max="3" width="12" customWidth="1"/>
    <col min="4" max="4" width="14" customWidth="1"/>
    <col min="5" max="6" width="12" customWidth="1"/>
    <col min="7" max="7" width="10" customWidth="1"/>
    <col min="8" max="8" width="14" customWidth="1"/>
    <col min="9" max="9" width="18" customWidth="1"/>
  </cols>
  <sheetData>
    <row r="1" spans="1:9" ht="19.5" customHeight="1" x14ac:dyDescent="0.2">
      <c r="A1" s="2" t="s">
        <v>70</v>
      </c>
      <c r="B1" s="2"/>
      <c r="C1" s="2"/>
      <c r="D1" s="2"/>
      <c r="E1" s="2"/>
      <c r="F1" s="2"/>
      <c r="G1" s="2"/>
      <c r="H1" s="2"/>
      <c r="I1" s="2"/>
    </row>
    <row r="2" spans="1:9" ht="15" customHeight="1" x14ac:dyDescent="0.2">
      <c r="A2" s="7" t="s">
        <v>71</v>
      </c>
      <c r="B2" s="7"/>
      <c r="C2" s="7"/>
      <c r="D2" s="7"/>
      <c r="E2" s="7"/>
      <c r="F2" s="7"/>
      <c r="G2" s="7"/>
      <c r="H2" s="7"/>
      <c r="I2" s="7"/>
    </row>
    <row r="4" spans="1:9" ht="15" customHeight="1" x14ac:dyDescent="0.2">
      <c r="A4" s="13" t="s">
        <v>72</v>
      </c>
      <c r="B4" s="12" t="s">
        <v>73</v>
      </c>
      <c r="C4" s="12" t="s">
        <v>74</v>
      </c>
      <c r="D4" s="12" t="s">
        <v>75</v>
      </c>
      <c r="E4" s="12" t="s">
        <v>56</v>
      </c>
      <c r="F4" s="12" t="s">
        <v>55</v>
      </c>
      <c r="G4" s="12" t="s">
        <v>51</v>
      </c>
      <c r="H4" s="12" t="s">
        <v>76</v>
      </c>
      <c r="I4" s="12" t="s">
        <v>77</v>
      </c>
    </row>
    <row r="5" spans="1:9" ht="15" customHeight="1" x14ac:dyDescent="0.2">
      <c r="A5" s="53" t="s">
        <v>78</v>
      </c>
      <c r="B5" s="54">
        <v>17</v>
      </c>
      <c r="C5" s="54">
        <v>1950</v>
      </c>
      <c r="D5" s="54">
        <v>745</v>
      </c>
      <c r="E5" s="54">
        <v>91</v>
      </c>
      <c r="F5" s="54">
        <v>15</v>
      </c>
      <c r="G5" s="55">
        <v>1.5</v>
      </c>
      <c r="H5" s="56">
        <f>G5*Calculator!$B$7/B5</f>
        <v>1.8529411764705883</v>
      </c>
      <c r="I5" s="57">
        <f>IFERROR((Calculator!$D$26-H5)/H5,0)</f>
        <v>5.7460317460317452</v>
      </c>
    </row>
    <row r="6" spans="1:9" ht="15" customHeight="1" x14ac:dyDescent="0.2">
      <c r="A6" s="53" t="s">
        <v>79</v>
      </c>
      <c r="B6" s="54">
        <v>15</v>
      </c>
      <c r="C6" s="54">
        <v>1666</v>
      </c>
      <c r="D6" s="54">
        <v>685</v>
      </c>
      <c r="E6" s="54">
        <v>88</v>
      </c>
      <c r="F6" s="54">
        <v>14</v>
      </c>
      <c r="G6" s="55">
        <v>2.5</v>
      </c>
      <c r="H6" s="56">
        <f>G6*Calculator!$B$7/B6</f>
        <v>3.5</v>
      </c>
      <c r="I6" s="57">
        <f>IFERROR((Calculator!$D$26-H6)/H6,0)</f>
        <v>2.5714285714285716</v>
      </c>
    </row>
    <row r="7" spans="1:9" ht="15" customHeight="1" x14ac:dyDescent="0.2">
      <c r="A7" s="53" t="s">
        <v>80</v>
      </c>
      <c r="B7" s="54">
        <v>17</v>
      </c>
      <c r="C7" s="54">
        <v>1531</v>
      </c>
      <c r="D7" s="54">
        <v>671</v>
      </c>
      <c r="E7" s="54">
        <v>69</v>
      </c>
      <c r="F7" s="54">
        <v>6</v>
      </c>
      <c r="G7" s="55">
        <v>1</v>
      </c>
      <c r="H7" s="56">
        <f>G7*Calculator!$B$7/B7</f>
        <v>1.2352941176470589</v>
      </c>
      <c r="I7" s="57">
        <f>IFERROR((Calculator!$D$26-H7)/H7,0)</f>
        <v>9.1190476190476186</v>
      </c>
    </row>
    <row r="8" spans="1:9" ht="15" customHeight="1" x14ac:dyDescent="0.2">
      <c r="A8" s="53" t="s">
        <v>81</v>
      </c>
      <c r="B8" s="54">
        <v>18</v>
      </c>
      <c r="C8" s="54">
        <v>1546</v>
      </c>
      <c r="D8" s="54">
        <v>775</v>
      </c>
      <c r="E8" s="54">
        <v>93</v>
      </c>
      <c r="F8" s="54">
        <v>21</v>
      </c>
      <c r="G8" s="55">
        <v>0.5</v>
      </c>
      <c r="H8" s="56">
        <f>G8*Calculator!$B$7/B8</f>
        <v>0.58333333333333337</v>
      </c>
      <c r="I8" s="57">
        <f>IFERROR((Calculator!$D$26-H8)/H8,0)</f>
        <v>20.428571428571427</v>
      </c>
    </row>
    <row r="9" spans="1:9" ht="15" customHeight="1" x14ac:dyDescent="0.2">
      <c r="A9" s="16" t="s">
        <v>82</v>
      </c>
      <c r="B9" s="58">
        <f t="shared" ref="B9:H9" si="0">SUM(B5:B8)</f>
        <v>67</v>
      </c>
      <c r="C9" s="58">
        <f t="shared" si="0"/>
        <v>6693</v>
      </c>
      <c r="D9" s="58">
        <f t="shared" si="0"/>
        <v>2876</v>
      </c>
      <c r="E9" s="58">
        <f t="shared" si="0"/>
        <v>341</v>
      </c>
      <c r="F9" s="58">
        <f t="shared" si="0"/>
        <v>56</v>
      </c>
      <c r="G9" s="59">
        <f t="shared" si="0"/>
        <v>5.5</v>
      </c>
      <c r="H9" s="60">
        <f t="shared" si="0"/>
        <v>7.1715686274509807</v>
      </c>
      <c r="I9" s="61">
        <f>IFERROR((Calculator!$E$26-H9)/H9,0)</f>
        <v>4.2289815447710186</v>
      </c>
    </row>
    <row r="12" spans="1:9" ht="15" customHeight="1" x14ac:dyDescent="0.2">
      <c r="A12" s="16" t="s">
        <v>83</v>
      </c>
    </row>
    <row r="13" spans="1:9" ht="15" customHeight="1" x14ac:dyDescent="0.2">
      <c r="A13" s="13" t="s">
        <v>44</v>
      </c>
      <c r="B13" s="12" t="s">
        <v>84</v>
      </c>
      <c r="C13" s="12" t="s">
        <v>85</v>
      </c>
      <c r="D13" s="12" t="s">
        <v>86</v>
      </c>
    </row>
    <row r="14" spans="1:9" ht="15" customHeight="1" x14ac:dyDescent="0.2">
      <c r="A14" s="10" t="s">
        <v>59</v>
      </c>
      <c r="B14" s="62">
        <f>Calculator!E33</f>
        <v>6963.6331223816742</v>
      </c>
      <c r="C14" s="63">
        <f>SUMPRODUCT(C5:C8,Calculator!$B$7/B5:B8)</f>
        <v>8436.1254901960783</v>
      </c>
      <c r="D14" s="57">
        <f>IFERROR((B14-C14)/C14,0)</f>
        <v>-0.17454604836374707</v>
      </c>
    </row>
    <row r="15" spans="1:9" ht="15" customHeight="1" x14ac:dyDescent="0.2">
      <c r="A15" s="10" t="s">
        <v>57</v>
      </c>
      <c r="B15" s="62">
        <f>Calculator!E32</f>
        <v>3621.0892236384702</v>
      </c>
      <c r="C15" s="63">
        <f>SUMPRODUCT(D5:D8,Calculator!$B$7/B5:B8)</f>
        <v>3612.3431372549021</v>
      </c>
      <c r="D15" s="57">
        <f>IFERROR((B15-C15)/C15,0)</f>
        <v>2.4211671071243989E-3</v>
      </c>
    </row>
    <row r="16" spans="1:9" ht="15" customHeight="1" x14ac:dyDescent="0.2">
      <c r="A16" s="10" t="s">
        <v>56</v>
      </c>
      <c r="B16" s="62">
        <f>Calculator!E31</f>
        <v>434.53070683661645</v>
      </c>
      <c r="C16" s="63">
        <f>SUMPRODUCT(E5:E8,Calculator!$B$7/B5:B8)</f>
        <v>429.34705882352944</v>
      </c>
      <c r="D16" s="57">
        <f>IFERROR((B16-C16)/C16,0)</f>
        <v>1.2073328340226492E-2</v>
      </c>
    </row>
    <row r="17" spans="1:9" ht="15" customHeight="1" x14ac:dyDescent="0.2">
      <c r="A17" s="10" t="s">
        <v>55</v>
      </c>
      <c r="B17" s="64">
        <f>Calculator!E30</f>
        <v>86.906141367323286</v>
      </c>
      <c r="C17" s="38">
        <f>SUMPRODUCT(F5:F8,Calculator!$B$7/B5:B8)</f>
        <v>70.041176470588226</v>
      </c>
      <c r="D17" s="57">
        <f>IFERROR((B17-C17)/C17,0)</f>
        <v>0.24078643087637194</v>
      </c>
    </row>
    <row r="18" spans="1:9" ht="15" customHeight="1" x14ac:dyDescent="0.2">
      <c r="A18" s="10" t="s">
        <v>66</v>
      </c>
      <c r="B18" s="64">
        <f>Calculator!E26</f>
        <v>37.5</v>
      </c>
      <c r="C18" s="38">
        <f>SUMPRODUCT(G5:G8,Calculator!$B$7/B5:B8)</f>
        <v>7.1715686274509807</v>
      </c>
      <c r="D18" s="57">
        <f>IFERROR((B18-C18)/C18,0)</f>
        <v>4.2289815447710186</v>
      </c>
    </row>
    <row r="21" spans="1:9" ht="15" customHeight="1" x14ac:dyDescent="0.2">
      <c r="A21" s="1" t="s">
        <v>87</v>
      </c>
      <c r="B21" s="1"/>
      <c r="C21" s="1"/>
      <c r="D21" s="1"/>
      <c r="E21" s="1"/>
      <c r="F21" s="1"/>
      <c r="G21" s="1"/>
      <c r="H21" s="1"/>
      <c r="I21" s="1"/>
    </row>
    <row r="22" spans="1:9" ht="15" customHeight="1" x14ac:dyDescent="0.2">
      <c r="A22" s="1"/>
      <c r="B22" s="1"/>
      <c r="C22" s="1"/>
      <c r="D22" s="1"/>
      <c r="E22" s="1"/>
      <c r="F22" s="1"/>
      <c r="G22" s="1"/>
      <c r="H22" s="1"/>
      <c r="I22" s="1"/>
    </row>
    <row r="23" spans="1:9" ht="15" customHeight="1" x14ac:dyDescent="0.2">
      <c r="A23" s="1"/>
      <c r="B23" s="1"/>
      <c r="C23" s="1"/>
      <c r="D23" s="1"/>
      <c r="E23" s="1"/>
      <c r="F23" s="1"/>
      <c r="G23" s="1"/>
      <c r="H23" s="1"/>
      <c r="I23" s="1"/>
    </row>
  </sheetData>
  <mergeCells count="3">
    <mergeCell ref="A1:I1"/>
    <mergeCell ref="A2:I2"/>
    <mergeCell ref="A21:I2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4"/>
  <sheetViews>
    <sheetView zoomScaleNormal="100" workbookViewId="0"/>
  </sheetViews>
  <sheetFormatPr baseColWidth="10" defaultColWidth="8.6640625" defaultRowHeight="15" x14ac:dyDescent="0.2"/>
  <cols>
    <col min="1" max="1" width="110" customWidth="1"/>
  </cols>
  <sheetData>
    <row r="1" spans="1:1" ht="19.5" customHeight="1" x14ac:dyDescent="0.2">
      <c r="A1" s="65" t="s">
        <v>88</v>
      </c>
    </row>
    <row r="2" spans="1:1" ht="15" customHeight="1" x14ac:dyDescent="0.2">
      <c r="A2" s="66"/>
    </row>
    <row r="3" spans="1:1" ht="15" customHeight="1" x14ac:dyDescent="0.2">
      <c r="A3" s="67" t="s">
        <v>89</v>
      </c>
    </row>
    <row r="4" spans="1:1" ht="15" customHeight="1" x14ac:dyDescent="0.2">
      <c r="A4" s="66" t="s">
        <v>90</v>
      </c>
    </row>
    <row r="5" spans="1:1" ht="15" customHeight="1" x14ac:dyDescent="0.2">
      <c r="A5" s="66" t="s">
        <v>91</v>
      </c>
    </row>
    <row r="6" spans="1:1" ht="15" customHeight="1" x14ac:dyDescent="0.2">
      <c r="A6" s="66" t="s">
        <v>92</v>
      </c>
    </row>
    <row r="7" spans="1:1" ht="15" customHeight="1" x14ac:dyDescent="0.2">
      <c r="A7" s="66" t="s">
        <v>93</v>
      </c>
    </row>
    <row r="8" spans="1:1" ht="15" customHeight="1" x14ac:dyDescent="0.2">
      <c r="A8" s="66" t="s">
        <v>94</v>
      </c>
    </row>
    <row r="9" spans="1:1" ht="15" customHeight="1" x14ac:dyDescent="0.2">
      <c r="A9" s="66"/>
    </row>
    <row r="10" spans="1:1" ht="15" customHeight="1" x14ac:dyDescent="0.2">
      <c r="A10" s="67" t="s">
        <v>95</v>
      </c>
    </row>
    <row r="11" spans="1:1" ht="15" customHeight="1" x14ac:dyDescent="0.2">
      <c r="A11" s="66" t="s">
        <v>96</v>
      </c>
    </row>
    <row r="12" spans="1:1" ht="15" customHeight="1" x14ac:dyDescent="0.2">
      <c r="A12" s="66" t="s">
        <v>97</v>
      </c>
    </row>
    <row r="13" spans="1:1" ht="15" customHeight="1" x14ac:dyDescent="0.2">
      <c r="A13" s="66" t="s">
        <v>98</v>
      </c>
    </row>
    <row r="14" spans="1:1" ht="15" customHeight="1" x14ac:dyDescent="0.2">
      <c r="A14" s="66" t="s">
        <v>99</v>
      </c>
    </row>
    <row r="15" spans="1:1" ht="15" customHeight="1" x14ac:dyDescent="0.2">
      <c r="A15" s="66" t="s">
        <v>100</v>
      </c>
    </row>
    <row r="16" spans="1:1" ht="15" customHeight="1" x14ac:dyDescent="0.2">
      <c r="A16" s="66" t="s">
        <v>101</v>
      </c>
    </row>
    <row r="17" spans="1:1" ht="15" customHeight="1" x14ac:dyDescent="0.2">
      <c r="A17" s="66" t="s">
        <v>102</v>
      </c>
    </row>
    <row r="18" spans="1:1" ht="15" customHeight="1" x14ac:dyDescent="0.2">
      <c r="A18" s="66" t="s">
        <v>103</v>
      </c>
    </row>
    <row r="19" spans="1:1" ht="15" customHeight="1" x14ac:dyDescent="0.2">
      <c r="A19" s="66"/>
    </row>
    <row r="20" spans="1:1" ht="15" customHeight="1" x14ac:dyDescent="0.2">
      <c r="A20" s="67" t="s">
        <v>104</v>
      </c>
    </row>
    <row r="21" spans="1:1" ht="15" customHeight="1" x14ac:dyDescent="0.2">
      <c r="A21" s="66" t="s">
        <v>105</v>
      </c>
    </row>
    <row r="22" spans="1:1" ht="15" customHeight="1" x14ac:dyDescent="0.2">
      <c r="A22" s="66" t="s">
        <v>106</v>
      </c>
    </row>
    <row r="23" spans="1:1" ht="15" customHeight="1" x14ac:dyDescent="0.2">
      <c r="A23" s="66"/>
    </row>
    <row r="24" spans="1:1" ht="15" customHeight="1" x14ac:dyDescent="0.2">
      <c r="A24" s="66" t="s">
        <v>107</v>
      </c>
    </row>
    <row r="25" spans="1:1" ht="15" customHeight="1" x14ac:dyDescent="0.2">
      <c r="A25" s="66" t="s">
        <v>108</v>
      </c>
    </row>
    <row r="26" spans="1:1" ht="15" customHeight="1" x14ac:dyDescent="0.2">
      <c r="A26" s="66"/>
    </row>
    <row r="27" spans="1:1" ht="15" customHeight="1" x14ac:dyDescent="0.2">
      <c r="A27" s="67" t="s">
        <v>109</v>
      </c>
    </row>
    <row r="28" spans="1:1" ht="15" customHeight="1" x14ac:dyDescent="0.2">
      <c r="A28" s="66" t="s">
        <v>110</v>
      </c>
    </row>
    <row r="29" spans="1:1" ht="15" customHeight="1" x14ac:dyDescent="0.2">
      <c r="A29" s="66" t="s">
        <v>111</v>
      </c>
    </row>
    <row r="30" spans="1:1" ht="15" customHeight="1" x14ac:dyDescent="0.2">
      <c r="A30" s="66" t="s">
        <v>112</v>
      </c>
    </row>
    <row r="31" spans="1:1" ht="15" customHeight="1" x14ac:dyDescent="0.2">
      <c r="A31" s="66" t="s">
        <v>113</v>
      </c>
    </row>
    <row r="32" spans="1:1" ht="15" customHeight="1" x14ac:dyDescent="0.2">
      <c r="A32" s="66" t="s">
        <v>114</v>
      </c>
    </row>
    <row r="33" spans="1:1" ht="15" customHeight="1" x14ac:dyDescent="0.2">
      <c r="A33" s="66"/>
    </row>
    <row r="34" spans="1:1" ht="15" customHeight="1" x14ac:dyDescent="0.2">
      <c r="A34" s="34" t="s">
        <v>115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Calculator</vt:lpstr>
      <vt:lpstr>Reality Check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Elly Bignell</cp:lastModifiedBy>
  <cp:revision>0</cp:revision>
  <dcterms:created xsi:type="dcterms:W3CDTF">2026-04-28T22:08:59Z</dcterms:created>
  <dcterms:modified xsi:type="dcterms:W3CDTF">2026-04-29T01:23:37Z</dcterms:modified>
  <dc:language>en-US</dc:language>
</cp:coreProperties>
</file>